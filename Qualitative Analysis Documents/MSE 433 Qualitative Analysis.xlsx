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perc\Downloads\"/>
    </mc:Choice>
  </mc:AlternateContent>
  <xr:revisionPtr revIDLastSave="0" documentId="13_ncr:1_{F968FC36-6AF6-4706-B0FF-B004BAACA4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EQ and SUS Scores" sheetId="1" r:id="rId1"/>
    <sheet name="Thematic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1" l="1"/>
  <c r="Y11" i="1"/>
  <c r="Y3" i="1"/>
  <c r="Y4" i="1"/>
  <c r="Y5" i="1"/>
  <c r="Y6" i="1"/>
  <c r="Y7" i="1"/>
  <c r="Y8" i="1"/>
  <c r="Y9" i="1"/>
  <c r="Y2" i="1"/>
  <c r="X3" i="1"/>
  <c r="X9" i="1"/>
  <c r="X4" i="1"/>
  <c r="X5" i="1"/>
  <c r="X6" i="1"/>
  <c r="X7" i="1"/>
  <c r="X8" i="1"/>
  <c r="X2" i="1"/>
  <c r="W3" i="1"/>
  <c r="W4" i="1"/>
  <c r="W5" i="1"/>
  <c r="W6" i="1"/>
  <c r="W7" i="1"/>
  <c r="W8" i="1"/>
  <c r="W9" i="1"/>
  <c r="W2" i="1"/>
  <c r="U3" i="1"/>
  <c r="U4" i="1"/>
  <c r="U5" i="1"/>
  <c r="U6" i="1"/>
  <c r="U7" i="1"/>
  <c r="U8" i="1"/>
  <c r="U9" i="1"/>
  <c r="U2" i="1"/>
  <c r="S3" i="1"/>
  <c r="S4" i="1"/>
  <c r="S5" i="1"/>
  <c r="S6" i="1"/>
  <c r="S7" i="1"/>
  <c r="S8" i="1"/>
  <c r="S9" i="1"/>
  <c r="S2" i="1"/>
  <c r="Q3" i="1"/>
  <c r="Q4" i="1"/>
  <c r="Q5" i="1"/>
  <c r="Q6" i="1"/>
  <c r="Q7" i="1"/>
  <c r="Q8" i="1"/>
  <c r="Q9" i="1"/>
  <c r="Q2" i="1"/>
  <c r="O3" i="1"/>
  <c r="O4" i="1"/>
  <c r="O5" i="1"/>
  <c r="O6" i="1"/>
  <c r="O7" i="1"/>
  <c r="O8" i="1"/>
  <c r="O9" i="1"/>
  <c r="O2" i="1"/>
  <c r="M3" i="1"/>
  <c r="M4" i="1"/>
  <c r="M5" i="1"/>
  <c r="M6" i="1"/>
  <c r="M7" i="1"/>
  <c r="M8" i="1"/>
  <c r="M9" i="1"/>
  <c r="M2" i="1"/>
  <c r="K3" i="1"/>
  <c r="K4" i="1"/>
  <c r="K5" i="1"/>
  <c r="K6" i="1"/>
  <c r="K7" i="1"/>
  <c r="K8" i="1"/>
  <c r="K9" i="1"/>
  <c r="K2" i="1"/>
  <c r="I3" i="1"/>
  <c r="I4" i="1"/>
  <c r="I5" i="1"/>
  <c r="I6" i="1"/>
  <c r="I7" i="1"/>
  <c r="I8" i="1"/>
  <c r="I9" i="1"/>
  <c r="I2" i="1"/>
  <c r="G3" i="1"/>
  <c r="G4" i="1"/>
  <c r="G5" i="1"/>
  <c r="G6" i="1"/>
  <c r="G7" i="1"/>
  <c r="G8" i="1"/>
  <c r="G9" i="1"/>
  <c r="G2" i="1"/>
  <c r="E9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<sst xmlns="http://schemas.openxmlformats.org/spreadsheetml/2006/main" count="124" uniqueCount="79">
  <si>
    <t>Participant</t>
  </si>
  <si>
    <t>Device</t>
  </si>
  <si>
    <t>SEQ (1–7)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</si>
  <si>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</si>
  <si>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</si>
  <si>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</si>
  <si>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</si>
  <si>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</si>
  <si>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</si>
  <si>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</si>
  <si>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</si>
  <si>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</si>
  <si>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</si>
  <si>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Laptop</t>
  </si>
  <si>
    <t>Tablet</t>
  </si>
  <si>
    <t>Excerpt</t>
  </si>
  <si>
    <t>Code</t>
  </si>
  <si>
    <t>Behavior Observed</t>
  </si>
  <si>
    <t>Severity</t>
  </si>
  <si>
    <t>Notes</t>
  </si>
  <si>
    <t>'Collections felt vague and unexpected'</t>
  </si>
  <si>
    <t>Collections label ambiguity</t>
  </si>
  <si>
    <t>'Filters disappear when scrolling'</t>
  </si>
  <si>
    <t>Filter persistence loss</t>
  </si>
  <si>
    <t>'US/Canada toggle is confusing'</t>
  </si>
  <si>
    <t>Localization toggle confusion</t>
  </si>
  <si>
    <t>'Quantity squares are annoying'</t>
  </si>
  <si>
    <t>Quantity selector UI friction</t>
  </si>
  <si>
    <t>'Item duplicated in cart unexpectedly'</t>
  </si>
  <si>
    <t>Cart feedback error</t>
  </si>
  <si>
    <t>'Product unclear from first image'</t>
  </si>
  <si>
    <t>Low product affordance</t>
  </si>
  <si>
    <t>'No filter under $25'</t>
  </si>
  <si>
    <t>Filtering constraint mismatch</t>
  </si>
  <si>
    <t>'Quick view has too few images'</t>
  </si>
  <si>
    <t>Insufficient product detail</t>
  </si>
  <si>
    <t>'Keyboard does not dismiss after search'</t>
  </si>
  <si>
    <t>Mobile input bug</t>
  </si>
  <si>
    <t>'Search returned no relevant results'</t>
  </si>
  <si>
    <t>Search relevance issue</t>
  </si>
  <si>
    <t>Menu labels felt vague; user unsure where Chrome Dino items lived</t>
  </si>
  <si>
    <t>Information Architecture Friction</t>
  </si>
  <si>
    <t>Medium</t>
  </si>
  <si>
    <t>Delayed discovery</t>
  </si>
  <si>
    <t>Filters disappeared while scrolling, forcing user to scroll back to top</t>
  </si>
  <si>
    <t>Navigation context lost</t>
  </si>
  <si>
    <t>User noticed US/Canada toggle late and felt confused</t>
  </si>
  <si>
    <t>Localization &amp; Region Control</t>
  </si>
  <si>
    <t>High</t>
  </si>
  <si>
    <t>Changed available catalog</t>
  </si>
  <si>
    <t>Quantity availability squares were visually disliked despite being understandable</t>
  </si>
  <si>
    <t>UI Control Aesthetics</t>
  </si>
  <si>
    <t>Low</t>
  </si>
  <si>
    <t>Strong emotional reaction</t>
  </si>
  <si>
    <t>Item duplicated in cart without clear feedback</t>
  </si>
  <si>
    <t>System Feedback &amp; Errors</t>
  </si>
  <si>
    <t>User verbalized bug</t>
  </si>
  <si>
    <t>Product unclear from first image; second image required</t>
  </si>
  <si>
    <t>Content &amp; Product Clarity</t>
  </si>
  <si>
    <t>Delayed understanding</t>
  </si>
  <si>
    <t>No filter option existed for $25 budget cap</t>
  </si>
  <si>
    <t>Budget-based task friction</t>
  </si>
  <si>
    <t>Quick View lacked sufficient photos for decision-making</t>
  </si>
  <si>
    <t>User abandoned quick view</t>
  </si>
  <si>
    <t>On-screen keyboard failed to dismiss after search</t>
  </si>
  <si>
    <t>Input &amp; Interaction Bugs</t>
  </si>
  <si>
    <t>Interrupted browsing</t>
  </si>
  <si>
    <t>Search returned zero results for expected term</t>
  </si>
  <si>
    <t>Search &amp; Discovery</t>
  </si>
  <si>
    <t>Forced menu navigation</t>
  </si>
  <si>
    <t>UI Control &amp; Feedback</t>
  </si>
  <si>
    <t>Localization &amp; Region</t>
  </si>
  <si>
    <t>mapped</t>
  </si>
  <si>
    <t>SUS Score Total</t>
  </si>
  <si>
    <t>SUS Percent Score</t>
  </si>
  <si>
    <t>Laptop Avg SUS Score</t>
  </si>
  <si>
    <t>Tablet Avg SUS Score</t>
  </si>
  <si>
    <t>Initial Theme</t>
  </si>
  <si>
    <t>Final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</si>
</sst>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8" xfId="0" applyFill="1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3" xfId="0" applyFill="1" applyBorder="1"/>
    <xf numFmtId="0" fontId="0" fillId="7" borderId="1" xfId="0" applyFill="1" applyBorder="1"/>
    <xf numFmtId="0" fontId="0" fillId="7" borderId="14" xfId="0" applyFill="1" applyBorder="1"/>
    <xf numFmtId="0" fontId="0" fillId="7" borderId="8" xfId="0" applyFill="1" applyBorder="1"/>
    <xf numFmtId="0" fontId="0" fillId="8" borderId="8" xfId="0" applyFill="1" applyBorder="1"/>
    <xf numFmtId="0" fontId="0" fillId="8" borderId="17" xfId="0" applyFill="1" applyBorder="1"/>
    <xf numFmtId="0" fontId="0" fillId="8" borderId="3" xfId="0" applyFill="1" applyBorder="1"/>
    <xf numFmtId="0" fontId="0" fillId="8" borderId="14" xfId="0" applyFill="1" applyBorder="1"/>
    <xf numFmtId="0" fontId="1" fillId="0" borderId="19" xfId="0" applyFont="1" applyBorder="1" applyAlignment="1">
      <alignment horizontal="center" vertical="top"/>
    </xf>
    <xf numFmtId="0" fontId="0" fillId="7" borderId="20" xfId="0" applyFill="1" applyBorder="1"/>
    <xf numFmtId="0" fontId="0" fillId="8" borderId="20" xfId="0" applyFill="1" applyBorder="1"/>
    <xf numFmtId="0" fontId="0" fillId="7" borderId="21" xfId="0" applyFill="1" applyBorder="1"/>
    <xf numFmtId="0" fontId="1" fillId="13" borderId="3" xfId="0" applyFont="1" applyFill="1" applyBorder="1" applyAlignment="1">
      <alignment horizontal="center" vertical="top"/>
    </xf>
    <xf numFmtId="0" fontId="1" fillId="14" borderId="3" xfId="0" applyFont="1" applyFill="1" applyBorder="1" applyAlignment="1">
      <alignment horizontal="center" vertical="top"/>
    </xf>
    <xf numFmtId="0" fontId="0" fillId="0" borderId="21" xfId="0" applyBorder="1"/>
    <xf numFmtId="0" fontId="0" fillId="10" borderId="1" xfId="0" applyFill="1" applyBorder="1"/>
    <xf numFmtId="0" fontId="0" fillId="10" borderId="8" xfId="0" applyFill="1" applyBorder="1"/>
    <xf numFmtId="0" fontId="4" fillId="14" borderId="3" xfId="0" applyFont="1" applyFill="1" applyBorder="1" applyAlignment="1">
      <alignment horizontal="center" vertical="top"/>
    </xf>
    <xf numFmtId="0" fontId="4" fillId="13" borderId="3" xfId="0" applyFont="1" applyFill="1" applyBorder="1" applyAlignment="1">
      <alignment horizontal="center" vertical="top"/>
    </xf>
    <xf numFmtId="0" fontId="1" fillId="15" borderId="28" xfId="0" applyFont="1" applyFill="1" applyBorder="1" applyAlignment="1">
      <alignment horizontal="center" vertical="top"/>
    </xf>
    <xf numFmtId="0" fontId="0" fillId="0" borderId="29" xfId="0" applyBorder="1"/>
    <xf numFmtId="0" fontId="0" fillId="0" borderId="30" xfId="0" applyBorder="1"/>
    <xf numFmtId="0" fontId="1" fillId="13" borderId="2" xfId="0" applyFont="1" applyFill="1" applyBorder="1" applyAlignment="1">
      <alignment horizontal="center" vertical="top"/>
    </xf>
    <xf numFmtId="0" fontId="4" fillId="14" borderId="19" xfId="0" applyFont="1" applyFill="1" applyBorder="1" applyAlignment="1">
      <alignment horizontal="center" vertical="top"/>
    </xf>
    <xf numFmtId="0" fontId="0" fillId="10" borderId="20" xfId="0" applyFill="1" applyBorder="1"/>
    <xf numFmtId="0" fontId="0" fillId="10" borderId="21" xfId="0" applyFill="1" applyBorder="1"/>
    <xf numFmtId="0" fontId="3" fillId="0" borderId="25" xfId="0" applyFont="1" applyBorder="1"/>
    <xf numFmtId="0" fontId="3" fillId="0" borderId="28" xfId="0" applyFont="1" applyBorder="1"/>
    <xf numFmtId="9" fontId="0" fillId="16" borderId="26" xfId="1" applyFont="1" applyFill="1" applyBorder="1"/>
    <xf numFmtId="9" fontId="0" fillId="14" borderId="26" xfId="1" applyFont="1" applyFill="1" applyBorder="1"/>
    <xf numFmtId="9" fontId="0" fillId="17" borderId="26" xfId="1" applyFont="1" applyFill="1" applyBorder="1"/>
    <xf numFmtId="0" fontId="0" fillId="15" borderId="2" xfId="0" applyFill="1" applyBorder="1"/>
    <xf numFmtId="9" fontId="0" fillId="15" borderId="4" xfId="0" applyNumberFormat="1" applyFill="1" applyBorder="1"/>
    <xf numFmtId="0" fontId="0" fillId="15" borderId="7" xfId="0" applyFill="1" applyBorder="1"/>
    <xf numFmtId="9" fontId="0" fillId="15" borderId="9" xfId="0" applyNumberFormat="1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8" xfId="0" applyFill="1" applyBorder="1"/>
    <xf numFmtId="0" fontId="0" fillId="5" borderId="22" xfId="0" applyFill="1" applyBorder="1"/>
    <xf numFmtId="0" fontId="0" fillId="5" borderId="23" xfId="0" applyFill="1" applyBorder="1"/>
    <xf numFmtId="0" fontId="0" fillId="6" borderId="24" xfId="0" applyFill="1" applyBorder="1"/>
    <xf numFmtId="0" fontId="0" fillId="9" borderId="25" xfId="0" applyFill="1" applyBorder="1"/>
    <xf numFmtId="0" fontId="0" fillId="9" borderId="26" xfId="0" applyFill="1" applyBorder="1"/>
    <xf numFmtId="0" fontId="0" fillId="0" borderId="31" xfId="0" applyFill="1" applyBorder="1"/>
    <xf numFmtId="0" fontId="0" fillId="0" borderId="20" xfId="0" applyFill="1" applyBorder="1"/>
    <xf numFmtId="0" fontId="0" fillId="0" borderId="32" xfId="0" applyFill="1" applyBorder="1"/>
    <xf numFmtId="0" fontId="0" fillId="2" borderId="33" xfId="0" applyFill="1" applyBorder="1"/>
    <xf numFmtId="0" fontId="0" fillId="4" borderId="34" xfId="0" applyFill="1" applyBorder="1"/>
    <xf numFmtId="0" fontId="0" fillId="5" borderId="35" xfId="0" applyFill="1" applyBorder="1"/>
    <xf numFmtId="0" fontId="0" fillId="10" borderId="25" xfId="0" applyFill="1" applyBorder="1"/>
    <xf numFmtId="0" fontId="0" fillId="10" borderId="26" xfId="0" applyFill="1" applyBorder="1"/>
    <xf numFmtId="0" fontId="0" fillId="0" borderId="19" xfId="0" applyFill="1" applyBorder="1"/>
    <xf numFmtId="0" fontId="0" fillId="11" borderId="36" xfId="0" applyFill="1" applyBorder="1"/>
    <xf numFmtId="0" fontId="0" fillId="4" borderId="24" xfId="0" applyFill="1" applyBorder="1"/>
    <xf numFmtId="0" fontId="0" fillId="5" borderId="34" xfId="0" applyFill="1" applyBorder="1"/>
    <xf numFmtId="0" fontId="0" fillId="0" borderId="31" xfId="0" applyBorder="1"/>
    <xf numFmtId="0" fontId="0" fillId="5" borderId="24" xfId="0" applyFill="1" applyBorder="1"/>
    <xf numFmtId="0" fontId="0" fillId="3" borderId="25" xfId="0" applyFill="1" applyBorder="1"/>
    <xf numFmtId="0" fontId="0" fillId="12" borderId="27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workbookViewId="0">
      <selection activeCell="E14" sqref="E14"/>
    </sheetView>
  </sheetViews>
  <sheetFormatPr defaultRowHeight="14.5" x14ac:dyDescent="0.35"/>
  <cols>
    <col min="1" max="1" width="10" bestFit="1" customWidth="1"/>
    <col min="2" max="2" width="9" customWidth="1"/>
    <col min="3" max="3" width="8.81640625" bestFit="1" customWidth="1"/>
    <col min="4" max="4" width="7.26953125" customWidth="1"/>
    <col min="5" max="5" width="7.7265625" bestFit="1" customWidth="1"/>
    <col min="6" max="6" width="7.26953125" bestFit="1" customWidth="1"/>
    <col min="7" max="7" width="7.7265625" bestFit="1" customWidth="1"/>
    <col min="8" max="8" width="7.26953125" bestFit="1" customWidth="1"/>
    <col min="9" max="9" width="7.7265625" bestFit="1" customWidth="1"/>
    <col min="10" max="10" width="7.26953125" bestFit="1" customWidth="1"/>
    <col min="11" max="11" width="7.7265625" bestFit="1" customWidth="1"/>
    <col min="12" max="12" width="7.26953125" bestFit="1" customWidth="1"/>
    <col min="13" max="13" width="7.7265625" bestFit="1" customWidth="1"/>
    <col min="14" max="14" width="7.26953125" bestFit="1" customWidth="1"/>
    <col min="15" max="15" width="7.7265625" bestFit="1" customWidth="1"/>
    <col min="16" max="16" width="7.26953125" bestFit="1" customWidth="1"/>
    <col min="17" max="17" width="7.7265625" bestFit="1" customWidth="1"/>
    <col min="18" max="18" width="7.26953125" bestFit="1" customWidth="1"/>
    <col min="19" max="19" width="7.7265625" bestFit="1" customWidth="1"/>
    <col min="20" max="20" width="7.26953125" bestFit="1" customWidth="1"/>
    <col min="21" max="21" width="7.7265625" bestFit="1" customWidth="1"/>
    <col min="22" max="22" width="8.26953125" bestFit="1" customWidth="1"/>
    <col min="23" max="23" width="7.7265625" bestFit="1" customWidth="1"/>
    <col min="24" max="24" width="18.7265625" bestFit="1" customWidth="1"/>
    <col min="25" max="25" width="15.7265625" bestFit="1" customWidth="1"/>
  </cols>
  <sheetData>
    <row r="1" spans="1:25" x14ac:dyDescent="0.35">
      <c r="A1" s="2" t="s">
        <v>0</v>
      </c>
      <c r="B1" s="30" t="s">
        <v>1</v>
      </c>
      <c r="C1" s="41" t="s">
        <v>2</v>
      </c>
      <c r="D1" s="44" t="s">
        <v>3</v>
      </c>
      <c r="E1" s="40" t="s">
        <v>72</v>
      </c>
      <c r="F1" s="35" t="s">
        <v>4</v>
      </c>
      <c r="G1" s="39" t="s">
        <v>72</v>
      </c>
      <c r="H1" s="34" t="s">
        <v>5</v>
      </c>
      <c r="I1" s="40" t="s">
        <v>72</v>
      </c>
      <c r="J1" s="35" t="s">
        <v>6</v>
      </c>
      <c r="K1" s="39" t="s">
        <v>72</v>
      </c>
      <c r="L1" s="34" t="s">
        <v>7</v>
      </c>
      <c r="M1" s="40" t="s">
        <v>72</v>
      </c>
      <c r="N1" s="35" t="s">
        <v>8</v>
      </c>
      <c r="O1" s="39" t="s">
        <v>72</v>
      </c>
      <c r="P1" s="34" t="s">
        <v>9</v>
      </c>
      <c r="Q1" s="40" t="s">
        <v>72</v>
      </c>
      <c r="R1" s="35" t="s">
        <v>10</v>
      </c>
      <c r="S1" s="39" t="s">
        <v>72</v>
      </c>
      <c r="T1" s="34" t="s">
        <v>11</v>
      </c>
      <c r="U1" s="40" t="s">
        <v>72</v>
      </c>
      <c r="V1" s="35" t="s">
        <v>12</v>
      </c>
      <c r="W1" s="45" t="s">
        <v>72</v>
      </c>
      <c r="X1" s="49" t="s">
        <v>73</v>
      </c>
      <c r="Y1" s="48" t="s">
        <v>74</v>
      </c>
    </row>
    <row r="2" spans="1:25" x14ac:dyDescent="0.35">
      <c r="A2" s="3">
        <v>1</v>
      </c>
      <c r="B2" s="31" t="s">
        <v>13</v>
      </c>
      <c r="C2" s="42">
        <v>7</v>
      </c>
      <c r="D2" s="3">
        <v>3</v>
      </c>
      <c r="E2" s="8">
        <f>D2-1</f>
        <v>2</v>
      </c>
      <c r="F2" s="1">
        <v>1</v>
      </c>
      <c r="G2" s="37">
        <f>5-F2</f>
        <v>4</v>
      </c>
      <c r="H2" s="1">
        <v>5</v>
      </c>
      <c r="I2" s="8">
        <f>H2-1</f>
        <v>4</v>
      </c>
      <c r="J2" s="1">
        <v>1</v>
      </c>
      <c r="K2" s="37">
        <f>5-J2</f>
        <v>4</v>
      </c>
      <c r="L2" s="1">
        <v>4</v>
      </c>
      <c r="M2" s="8">
        <f>L2-1</f>
        <v>3</v>
      </c>
      <c r="N2" s="1">
        <v>3</v>
      </c>
      <c r="O2" s="37">
        <f>5-N2</f>
        <v>2</v>
      </c>
      <c r="P2" s="1">
        <v>5</v>
      </c>
      <c r="Q2" s="8">
        <f>P2-1</f>
        <v>4</v>
      </c>
      <c r="R2" s="1">
        <v>1</v>
      </c>
      <c r="S2" s="37">
        <f>5-R2</f>
        <v>4</v>
      </c>
      <c r="T2" s="1">
        <v>5</v>
      </c>
      <c r="U2" s="8">
        <f>T2-1</f>
        <v>4</v>
      </c>
      <c r="V2" s="1">
        <v>1</v>
      </c>
      <c r="W2" s="46">
        <f>5-V2</f>
        <v>4</v>
      </c>
      <c r="X2" s="42">
        <f>SUM(W2,U2,S2,Q2,O2,M2,K2,I2,G2,E2)</f>
        <v>35</v>
      </c>
      <c r="Y2" s="50">
        <f>X2*2.5/100</f>
        <v>0.875</v>
      </c>
    </row>
    <row r="3" spans="1:25" x14ac:dyDescent="0.35">
      <c r="A3" s="3">
        <v>1</v>
      </c>
      <c r="B3" s="32" t="s">
        <v>14</v>
      </c>
      <c r="C3" s="42">
        <v>6</v>
      </c>
      <c r="D3" s="3">
        <v>2</v>
      </c>
      <c r="E3" s="8">
        <f t="shared" ref="E3:E8" si="0">D3-1</f>
        <v>1</v>
      </c>
      <c r="F3" s="1">
        <v>2</v>
      </c>
      <c r="G3" s="37">
        <f t="shared" ref="G3:G9" si="1">5-F3</f>
        <v>3</v>
      </c>
      <c r="H3" s="1">
        <v>4</v>
      </c>
      <c r="I3" s="8">
        <f t="shared" ref="I3:I9" si="2">H3-1</f>
        <v>3</v>
      </c>
      <c r="J3" s="1">
        <v>1</v>
      </c>
      <c r="K3" s="37">
        <f t="shared" ref="K3:K9" si="3">5-J3</f>
        <v>4</v>
      </c>
      <c r="L3" s="1">
        <v>2</v>
      </c>
      <c r="M3" s="8">
        <f t="shared" ref="M3:M9" si="4">L3-1</f>
        <v>1</v>
      </c>
      <c r="N3" s="1">
        <v>4</v>
      </c>
      <c r="O3" s="37">
        <f t="shared" ref="O3:O9" si="5">5-N3</f>
        <v>1</v>
      </c>
      <c r="P3" s="1">
        <v>5</v>
      </c>
      <c r="Q3" s="8">
        <f t="shared" ref="Q3:Q9" si="6">P3-1</f>
        <v>4</v>
      </c>
      <c r="R3" s="1">
        <v>4</v>
      </c>
      <c r="S3" s="37">
        <f t="shared" ref="S3:S9" si="7">5-R3</f>
        <v>1</v>
      </c>
      <c r="T3" s="1">
        <v>5</v>
      </c>
      <c r="U3" s="8">
        <f t="shared" ref="U3:U9" si="8">T3-1</f>
        <v>4</v>
      </c>
      <c r="V3" s="1">
        <v>1</v>
      </c>
      <c r="W3" s="46">
        <f t="shared" ref="W3:W9" si="9">5-V3</f>
        <v>4</v>
      </c>
      <c r="X3" s="42">
        <f>SUM(W3,U3,S3,Q3,O3,M3,K3,I3,G3,E3)</f>
        <v>26</v>
      </c>
      <c r="Y3" s="51">
        <f t="shared" ref="Y3:Y9" si="10">X3*2.5/100</f>
        <v>0.65</v>
      </c>
    </row>
    <row r="4" spans="1:25" x14ac:dyDescent="0.35">
      <c r="A4" s="3">
        <v>2</v>
      </c>
      <c r="B4" s="31" t="s">
        <v>13</v>
      </c>
      <c r="C4" s="42">
        <v>6</v>
      </c>
      <c r="D4" s="3">
        <v>3</v>
      </c>
      <c r="E4" s="8">
        <f t="shared" si="0"/>
        <v>2</v>
      </c>
      <c r="F4" s="1">
        <v>2</v>
      </c>
      <c r="G4" s="37">
        <f t="shared" si="1"/>
        <v>3</v>
      </c>
      <c r="H4" s="1">
        <v>5</v>
      </c>
      <c r="I4" s="8">
        <f t="shared" si="2"/>
        <v>4</v>
      </c>
      <c r="J4" s="1">
        <v>1</v>
      </c>
      <c r="K4" s="37">
        <f t="shared" si="3"/>
        <v>4</v>
      </c>
      <c r="L4" s="1">
        <v>4</v>
      </c>
      <c r="M4" s="8">
        <f t="shared" si="4"/>
        <v>3</v>
      </c>
      <c r="N4" s="1">
        <v>1</v>
      </c>
      <c r="O4" s="37">
        <f t="shared" si="5"/>
        <v>4</v>
      </c>
      <c r="P4" s="1">
        <v>5</v>
      </c>
      <c r="Q4" s="8">
        <f t="shared" si="6"/>
        <v>4</v>
      </c>
      <c r="R4" s="1">
        <v>1</v>
      </c>
      <c r="S4" s="37">
        <f t="shared" si="7"/>
        <v>4</v>
      </c>
      <c r="T4" s="1">
        <v>5</v>
      </c>
      <c r="U4" s="8">
        <f t="shared" si="8"/>
        <v>4</v>
      </c>
      <c r="V4" s="1">
        <v>1</v>
      </c>
      <c r="W4" s="46">
        <f t="shared" si="9"/>
        <v>4</v>
      </c>
      <c r="X4" s="42">
        <f t="shared" ref="X3:X8" si="11">SUM(W4,U4,S4,Q4,O4,M4,K4,I4,G4,E4)</f>
        <v>36</v>
      </c>
      <c r="Y4" s="52">
        <f t="shared" si="10"/>
        <v>0.9</v>
      </c>
    </row>
    <row r="5" spans="1:25" x14ac:dyDescent="0.35">
      <c r="A5" s="3">
        <v>2</v>
      </c>
      <c r="B5" s="32" t="s">
        <v>14</v>
      </c>
      <c r="C5" s="42">
        <v>6</v>
      </c>
      <c r="D5" s="3">
        <v>3</v>
      </c>
      <c r="E5" s="8">
        <f t="shared" si="0"/>
        <v>2</v>
      </c>
      <c r="F5" s="1">
        <v>2</v>
      </c>
      <c r="G5" s="37">
        <f t="shared" si="1"/>
        <v>3</v>
      </c>
      <c r="H5" s="1">
        <v>5</v>
      </c>
      <c r="I5" s="8">
        <f t="shared" si="2"/>
        <v>4</v>
      </c>
      <c r="J5" s="1">
        <v>1</v>
      </c>
      <c r="K5" s="37">
        <f t="shared" si="3"/>
        <v>4</v>
      </c>
      <c r="L5" s="1">
        <v>4</v>
      </c>
      <c r="M5" s="8">
        <f t="shared" si="4"/>
        <v>3</v>
      </c>
      <c r="N5" s="1">
        <v>1</v>
      </c>
      <c r="O5" s="37">
        <f t="shared" si="5"/>
        <v>4</v>
      </c>
      <c r="P5" s="1">
        <v>5</v>
      </c>
      <c r="Q5" s="8">
        <f t="shared" si="6"/>
        <v>4</v>
      </c>
      <c r="R5" s="1">
        <v>4</v>
      </c>
      <c r="S5" s="37">
        <f t="shared" si="7"/>
        <v>1</v>
      </c>
      <c r="T5" s="1">
        <v>5</v>
      </c>
      <c r="U5" s="8">
        <f t="shared" si="8"/>
        <v>4</v>
      </c>
      <c r="V5" s="1">
        <v>1</v>
      </c>
      <c r="W5" s="46">
        <f t="shared" si="9"/>
        <v>4</v>
      </c>
      <c r="X5" s="42">
        <f t="shared" si="11"/>
        <v>33</v>
      </c>
      <c r="Y5" s="50">
        <f t="shared" si="10"/>
        <v>0.82499999999999996</v>
      </c>
    </row>
    <row r="6" spans="1:25" x14ac:dyDescent="0.35">
      <c r="A6" s="3">
        <v>3</v>
      </c>
      <c r="B6" s="32" t="s">
        <v>14</v>
      </c>
      <c r="C6" s="42">
        <v>6</v>
      </c>
      <c r="D6" s="3">
        <v>3</v>
      </c>
      <c r="E6" s="8">
        <f t="shared" si="0"/>
        <v>2</v>
      </c>
      <c r="F6" s="1">
        <v>1</v>
      </c>
      <c r="G6" s="37">
        <f t="shared" si="1"/>
        <v>4</v>
      </c>
      <c r="H6" s="1">
        <v>4</v>
      </c>
      <c r="I6" s="8">
        <f t="shared" si="2"/>
        <v>3</v>
      </c>
      <c r="J6" s="1">
        <v>1</v>
      </c>
      <c r="K6" s="37">
        <f t="shared" si="3"/>
        <v>4</v>
      </c>
      <c r="L6" s="1">
        <v>3</v>
      </c>
      <c r="M6" s="8">
        <f t="shared" si="4"/>
        <v>2</v>
      </c>
      <c r="N6" s="1">
        <v>1</v>
      </c>
      <c r="O6" s="37">
        <f t="shared" si="5"/>
        <v>4</v>
      </c>
      <c r="P6" s="1">
        <v>5</v>
      </c>
      <c r="Q6" s="8">
        <f t="shared" si="6"/>
        <v>4</v>
      </c>
      <c r="R6" s="1">
        <v>1</v>
      </c>
      <c r="S6" s="37">
        <f t="shared" si="7"/>
        <v>4</v>
      </c>
      <c r="T6" s="1">
        <v>5</v>
      </c>
      <c r="U6" s="8">
        <f t="shared" si="8"/>
        <v>4</v>
      </c>
      <c r="V6" s="1">
        <v>1</v>
      </c>
      <c r="W6" s="46">
        <f t="shared" si="9"/>
        <v>4</v>
      </c>
      <c r="X6" s="42">
        <f t="shared" si="11"/>
        <v>35</v>
      </c>
      <c r="Y6" s="50">
        <f t="shared" si="10"/>
        <v>0.875</v>
      </c>
    </row>
    <row r="7" spans="1:25" x14ac:dyDescent="0.35">
      <c r="A7" s="3">
        <v>3</v>
      </c>
      <c r="B7" s="31" t="s">
        <v>13</v>
      </c>
      <c r="C7" s="42">
        <v>7</v>
      </c>
      <c r="D7" s="3">
        <v>2</v>
      </c>
      <c r="E7" s="8">
        <f t="shared" si="0"/>
        <v>1</v>
      </c>
      <c r="F7" s="1">
        <v>1</v>
      </c>
      <c r="G7" s="37">
        <f t="shared" si="1"/>
        <v>4</v>
      </c>
      <c r="H7" s="1">
        <v>5</v>
      </c>
      <c r="I7" s="8">
        <f t="shared" si="2"/>
        <v>4</v>
      </c>
      <c r="J7" s="1">
        <v>1</v>
      </c>
      <c r="K7" s="37">
        <f t="shared" si="3"/>
        <v>4</v>
      </c>
      <c r="L7" s="1">
        <v>5</v>
      </c>
      <c r="M7" s="8">
        <f t="shared" si="4"/>
        <v>4</v>
      </c>
      <c r="N7" s="1">
        <v>1</v>
      </c>
      <c r="O7" s="37">
        <f t="shared" si="5"/>
        <v>4</v>
      </c>
      <c r="P7" s="1">
        <v>5</v>
      </c>
      <c r="Q7" s="8">
        <f t="shared" si="6"/>
        <v>4</v>
      </c>
      <c r="R7" s="1">
        <v>1</v>
      </c>
      <c r="S7" s="37">
        <f t="shared" si="7"/>
        <v>4</v>
      </c>
      <c r="T7" s="1">
        <v>5</v>
      </c>
      <c r="U7" s="8">
        <f t="shared" si="8"/>
        <v>4</v>
      </c>
      <c r="V7" s="1">
        <v>1</v>
      </c>
      <c r="W7" s="46">
        <f t="shared" si="9"/>
        <v>4</v>
      </c>
      <c r="X7" s="42">
        <f t="shared" si="11"/>
        <v>37</v>
      </c>
      <c r="Y7" s="52">
        <f t="shared" si="10"/>
        <v>0.92500000000000004</v>
      </c>
    </row>
    <row r="8" spans="1:25" x14ac:dyDescent="0.35">
      <c r="A8" s="3">
        <v>4</v>
      </c>
      <c r="B8" s="32" t="s">
        <v>14</v>
      </c>
      <c r="C8" s="42">
        <v>7</v>
      </c>
      <c r="D8" s="3">
        <v>5</v>
      </c>
      <c r="E8" s="8">
        <f t="shared" si="0"/>
        <v>4</v>
      </c>
      <c r="F8" s="1">
        <v>1</v>
      </c>
      <c r="G8" s="37">
        <f t="shared" si="1"/>
        <v>4</v>
      </c>
      <c r="H8" s="1">
        <v>5</v>
      </c>
      <c r="I8" s="8">
        <f t="shared" si="2"/>
        <v>4</v>
      </c>
      <c r="J8" s="1">
        <v>1</v>
      </c>
      <c r="K8" s="37">
        <f t="shared" si="3"/>
        <v>4</v>
      </c>
      <c r="L8" s="1">
        <v>5</v>
      </c>
      <c r="M8" s="8">
        <f t="shared" si="4"/>
        <v>4</v>
      </c>
      <c r="N8" s="1">
        <v>1</v>
      </c>
      <c r="O8" s="37">
        <f t="shared" si="5"/>
        <v>4</v>
      </c>
      <c r="P8" s="1">
        <v>4</v>
      </c>
      <c r="Q8" s="8">
        <f t="shared" si="6"/>
        <v>3</v>
      </c>
      <c r="R8" s="1">
        <v>1</v>
      </c>
      <c r="S8" s="37">
        <f t="shared" si="7"/>
        <v>4</v>
      </c>
      <c r="T8" s="1">
        <v>4</v>
      </c>
      <c r="U8" s="8">
        <f t="shared" si="8"/>
        <v>3</v>
      </c>
      <c r="V8" s="1">
        <v>1</v>
      </c>
      <c r="W8" s="46">
        <f t="shared" si="9"/>
        <v>4</v>
      </c>
      <c r="X8" s="42">
        <f t="shared" si="11"/>
        <v>38</v>
      </c>
      <c r="Y8" s="52">
        <f t="shared" si="10"/>
        <v>0.95</v>
      </c>
    </row>
    <row r="9" spans="1:25" ht="15" thickBot="1" x14ac:dyDescent="0.4">
      <c r="A9" s="5">
        <v>4</v>
      </c>
      <c r="B9" s="33" t="s">
        <v>13</v>
      </c>
      <c r="C9" s="43">
        <v>6</v>
      </c>
      <c r="D9" s="5">
        <v>5</v>
      </c>
      <c r="E9" s="9">
        <f>D9-1</f>
        <v>4</v>
      </c>
      <c r="F9" s="6">
        <v>1</v>
      </c>
      <c r="G9" s="38">
        <f t="shared" si="1"/>
        <v>4</v>
      </c>
      <c r="H9" s="6">
        <v>5</v>
      </c>
      <c r="I9" s="9">
        <f t="shared" si="2"/>
        <v>4</v>
      </c>
      <c r="J9" s="6">
        <v>1</v>
      </c>
      <c r="K9" s="38">
        <f t="shared" si="3"/>
        <v>4</v>
      </c>
      <c r="L9" s="6">
        <v>4</v>
      </c>
      <c r="M9" s="9">
        <f t="shared" si="4"/>
        <v>3</v>
      </c>
      <c r="N9" s="6">
        <v>1</v>
      </c>
      <c r="O9" s="38">
        <f t="shared" si="5"/>
        <v>4</v>
      </c>
      <c r="P9" s="6">
        <v>4</v>
      </c>
      <c r="Q9" s="9">
        <f t="shared" si="6"/>
        <v>3</v>
      </c>
      <c r="R9" s="6">
        <v>1</v>
      </c>
      <c r="S9" s="38">
        <f t="shared" si="7"/>
        <v>4</v>
      </c>
      <c r="T9" s="6">
        <v>4</v>
      </c>
      <c r="U9" s="9">
        <f t="shared" si="8"/>
        <v>3</v>
      </c>
      <c r="V9" s="6">
        <v>1</v>
      </c>
      <c r="W9" s="47">
        <f t="shared" si="9"/>
        <v>4</v>
      </c>
      <c r="X9" s="43">
        <f>SUM(W9,U9,S9,Q9,O9,M9,K9,I9,G9,E9)</f>
        <v>37</v>
      </c>
      <c r="Y9" s="52">
        <f t="shared" si="10"/>
        <v>0.92500000000000004</v>
      </c>
    </row>
    <row r="10" spans="1:25" ht="15" thickBot="1" x14ac:dyDescent="0.4"/>
    <row r="11" spans="1:25" x14ac:dyDescent="0.35">
      <c r="X11" s="53" t="s">
        <v>75</v>
      </c>
      <c r="Y11" s="54">
        <f>AVERAGE(Y2,Y4,Y7,Y9)</f>
        <v>0.90625</v>
      </c>
    </row>
    <row r="12" spans="1:25" ht="15" thickBot="1" x14ac:dyDescent="0.4">
      <c r="X12" s="55" t="s">
        <v>76</v>
      </c>
      <c r="Y12" s="56">
        <f>AVERAGE(Y3,Y5,Y6,Y8)</f>
        <v>0.82499999999999996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G15" sqref="G15"/>
    </sheetView>
  </sheetViews>
  <sheetFormatPr defaultRowHeight="14.5" x14ac:dyDescent="0.35"/>
  <cols>
    <col min="1" max="1" width="10" bestFit="1" customWidth="1"/>
    <col min="2" max="2" width="6.54296875" bestFit="1" customWidth="1"/>
    <col min="3" max="3" width="34.81640625" bestFit="1" customWidth="1"/>
    <col min="4" max="4" width="25.1796875" bestFit="1" customWidth="1"/>
    <col min="5" max="5" width="68.6328125" bestFit="1" customWidth="1"/>
    <col min="6" max="6" width="28.453125" bestFit="1" customWidth="1"/>
    <col min="7" max="7" width="28.453125" customWidth="1"/>
    <col min="8" max="8" width="7.81640625" bestFit="1" customWidth="1"/>
    <col min="9" max="9" width="24" bestFit="1" customWidth="1"/>
  </cols>
  <sheetData>
    <row r="1" spans="1:9" ht="15" thickBot="1" x14ac:dyDescent="0.4">
      <c r="A1" s="10" t="s">
        <v>0</v>
      </c>
      <c r="B1" s="11" t="s">
        <v>1</v>
      </c>
      <c r="C1" s="11" t="s">
        <v>15</v>
      </c>
      <c r="D1" s="11" t="s">
        <v>16</v>
      </c>
      <c r="E1" s="11" t="s">
        <v>17</v>
      </c>
      <c r="F1" s="11" t="s">
        <v>77</v>
      </c>
      <c r="G1" s="11" t="s">
        <v>78</v>
      </c>
      <c r="H1" s="11" t="s">
        <v>18</v>
      </c>
      <c r="I1" s="12" t="s">
        <v>19</v>
      </c>
    </row>
    <row r="2" spans="1:9" x14ac:dyDescent="0.35">
      <c r="A2" s="16">
        <v>1</v>
      </c>
      <c r="B2" s="22" t="s">
        <v>13</v>
      </c>
      <c r="C2" s="17" t="s">
        <v>20</v>
      </c>
      <c r="D2" s="17" t="s">
        <v>21</v>
      </c>
      <c r="E2" s="17" t="s">
        <v>40</v>
      </c>
      <c r="F2" s="57" t="s">
        <v>41</v>
      </c>
      <c r="G2" s="63" t="s">
        <v>41</v>
      </c>
      <c r="H2" s="60" t="s">
        <v>42</v>
      </c>
      <c r="I2" s="18" t="s">
        <v>43</v>
      </c>
    </row>
    <row r="3" spans="1:9" x14ac:dyDescent="0.35">
      <c r="A3" s="3">
        <v>1</v>
      </c>
      <c r="B3" s="23" t="s">
        <v>13</v>
      </c>
      <c r="C3" s="1" t="s">
        <v>22</v>
      </c>
      <c r="D3" s="1" t="s">
        <v>23</v>
      </c>
      <c r="E3" s="1" t="s">
        <v>44</v>
      </c>
      <c r="F3" s="58" t="s">
        <v>41</v>
      </c>
      <c r="G3" s="64" t="s">
        <v>41</v>
      </c>
      <c r="H3" s="61" t="s">
        <v>42</v>
      </c>
      <c r="I3" s="4" t="s">
        <v>45</v>
      </c>
    </row>
    <row r="4" spans="1:9" ht="15" thickBot="1" x14ac:dyDescent="0.4">
      <c r="A4" s="5">
        <v>1</v>
      </c>
      <c r="B4" s="26" t="s">
        <v>14</v>
      </c>
      <c r="C4" s="6" t="s">
        <v>24</v>
      </c>
      <c r="D4" s="6" t="s">
        <v>25</v>
      </c>
      <c r="E4" s="6" t="s">
        <v>46</v>
      </c>
      <c r="F4" s="59" t="s">
        <v>47</v>
      </c>
      <c r="G4" s="68" t="s">
        <v>71</v>
      </c>
      <c r="H4" s="62" t="s">
        <v>48</v>
      </c>
      <c r="I4" s="7" t="s">
        <v>49</v>
      </c>
    </row>
    <row r="5" spans="1:9" x14ac:dyDescent="0.35">
      <c r="A5" s="13">
        <v>2</v>
      </c>
      <c r="B5" s="24" t="s">
        <v>13</v>
      </c>
      <c r="C5" s="14" t="s">
        <v>26</v>
      </c>
      <c r="D5" s="14" t="s">
        <v>27</v>
      </c>
      <c r="E5" s="14" t="s">
        <v>50</v>
      </c>
      <c r="F5" s="65" t="s">
        <v>51</v>
      </c>
      <c r="G5" s="71" t="s">
        <v>70</v>
      </c>
      <c r="H5" s="69" t="s">
        <v>52</v>
      </c>
      <c r="I5" s="15" t="s">
        <v>53</v>
      </c>
    </row>
    <row r="6" spans="1:9" x14ac:dyDescent="0.35">
      <c r="A6" s="3">
        <v>2</v>
      </c>
      <c r="B6" s="23" t="s">
        <v>13</v>
      </c>
      <c r="C6" s="1" t="s">
        <v>28</v>
      </c>
      <c r="D6" s="1" t="s">
        <v>29</v>
      </c>
      <c r="E6" s="1" t="s">
        <v>54</v>
      </c>
      <c r="F6" s="66" t="s">
        <v>55</v>
      </c>
      <c r="G6" s="72" t="s">
        <v>70</v>
      </c>
      <c r="H6" s="61" t="s">
        <v>42</v>
      </c>
      <c r="I6" s="4" t="s">
        <v>56</v>
      </c>
    </row>
    <row r="7" spans="1:9" ht="15" thickBot="1" x14ac:dyDescent="0.4">
      <c r="A7" s="19">
        <v>2</v>
      </c>
      <c r="B7" s="27" t="s">
        <v>14</v>
      </c>
      <c r="C7" s="20" t="s">
        <v>30</v>
      </c>
      <c r="D7" s="20" t="s">
        <v>31</v>
      </c>
      <c r="E7" s="20" t="s">
        <v>57</v>
      </c>
      <c r="F7" s="67" t="s">
        <v>58</v>
      </c>
      <c r="G7" s="74" t="s">
        <v>58</v>
      </c>
      <c r="H7" s="70" t="s">
        <v>42</v>
      </c>
      <c r="I7" s="21" t="s">
        <v>59</v>
      </c>
    </row>
    <row r="8" spans="1:9" x14ac:dyDescent="0.35">
      <c r="A8" s="16">
        <v>3</v>
      </c>
      <c r="B8" s="28" t="s">
        <v>14</v>
      </c>
      <c r="C8" s="17" t="s">
        <v>32</v>
      </c>
      <c r="D8" s="17" t="s">
        <v>33</v>
      </c>
      <c r="E8" s="17" t="s">
        <v>60</v>
      </c>
      <c r="F8" s="73" t="s">
        <v>41</v>
      </c>
      <c r="G8" s="63" t="s">
        <v>41</v>
      </c>
      <c r="H8" s="60" t="s">
        <v>42</v>
      </c>
      <c r="I8" s="18" t="s">
        <v>61</v>
      </c>
    </row>
    <row r="9" spans="1:9" ht="15" thickBot="1" x14ac:dyDescent="0.4">
      <c r="A9" s="5">
        <v>3</v>
      </c>
      <c r="B9" s="25" t="s">
        <v>13</v>
      </c>
      <c r="C9" s="6" t="s">
        <v>34</v>
      </c>
      <c r="D9" s="6" t="s">
        <v>35</v>
      </c>
      <c r="E9" s="6" t="s">
        <v>62</v>
      </c>
      <c r="F9" s="36" t="s">
        <v>58</v>
      </c>
      <c r="G9" s="74" t="s">
        <v>58</v>
      </c>
      <c r="H9" s="75" t="s">
        <v>52</v>
      </c>
      <c r="I9" s="7" t="s">
        <v>63</v>
      </c>
    </row>
    <row r="10" spans="1:9" x14ac:dyDescent="0.35">
      <c r="A10" s="13">
        <v>4</v>
      </c>
      <c r="B10" s="29" t="s">
        <v>14</v>
      </c>
      <c r="C10" s="14" t="s">
        <v>36</v>
      </c>
      <c r="D10" s="14" t="s">
        <v>37</v>
      </c>
      <c r="E10" s="14" t="s">
        <v>64</v>
      </c>
      <c r="F10" s="77" t="s">
        <v>65</v>
      </c>
      <c r="G10" s="79" t="s">
        <v>65</v>
      </c>
      <c r="H10" s="76" t="s">
        <v>42</v>
      </c>
      <c r="I10" s="15" t="s">
        <v>66</v>
      </c>
    </row>
    <row r="11" spans="1:9" ht="15" thickBot="1" x14ac:dyDescent="0.4">
      <c r="A11" s="5">
        <v>4</v>
      </c>
      <c r="B11" s="25" t="s">
        <v>13</v>
      </c>
      <c r="C11" s="6" t="s">
        <v>38</v>
      </c>
      <c r="D11" s="6" t="s">
        <v>39</v>
      </c>
      <c r="E11" s="6" t="s">
        <v>67</v>
      </c>
      <c r="F11" s="36" t="s">
        <v>68</v>
      </c>
      <c r="G11" s="80" t="s">
        <v>68</v>
      </c>
      <c r="H11" s="78" t="s">
        <v>42</v>
      </c>
      <c r="I11" s="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 and SUS Scores</vt:lpstr>
      <vt:lpstr>Thematic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Percy-Robb</cp:lastModifiedBy>
  <dcterms:created xsi:type="dcterms:W3CDTF">2026-04-09T21:25:36Z</dcterms:created>
  <dcterms:modified xsi:type="dcterms:W3CDTF">2026-04-09T21:50:58Z</dcterms:modified>
</cp:coreProperties>
</file>